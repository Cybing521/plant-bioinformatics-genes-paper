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locked_protocol_stats.txt</t>
        </is>
      </c>
      <c r="B2" t="inlineStr">
        <is>
          <t>2026-10-10</t>
        </is>
      </c>
      <c r="C2" t="n">
        <v>69</v>
      </c>
      <c r="D2" t="n">
        <v>1</v>
      </c>
      <c r="E2" t="inlineStr">
        <is>
          <t>Text 3.1; Fig.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>
        <f>== CNN region descriptives ===</f>
        <v/>
      </c>
    </row>
    <row r="3">
      <c r="A3" t="inlineStr">
        <is>
          <t xml:space="preserve">    region     n     mean       sd   median  median_ci95_lo  median_ci95_hi      iqr</t>
        </is>
      </c>
    </row>
    <row r="4">
      <c r="A4" t="inlineStr">
        <is>
          <t xml:space="preserve">      utr5  2542 0.006760 0.011464 0.002688        0.002427        0.002914 0.007439</t>
        </is>
      </c>
    </row>
    <row r="5">
      <c r="A5" t="inlineStr">
        <is>
          <t xml:space="preserve">      utr3  4148 0.003764 0.006745 0.001117        0.000990        0.001252 0.004955</t>
        </is>
      </c>
    </row>
    <row r="6">
      <c r="A6" t="inlineStr">
        <is>
          <t xml:space="preserve">  promoter  7399 0.001773 0.004448 0.000427        0.000400        0.000454 0.001460</t>
        </is>
      </c>
    </row>
    <row r="7">
      <c r="A7" t="inlineStr">
        <is>
          <t>terminator 13573 0.002468 0.004817 0.000584        0.000553        0.000626 0.002889</t>
        </is>
      </c>
    </row>
    <row r="8">
      <c r="A8" t="inlineStr"/>
    </row>
    <row r="9">
      <c r="A9">
        <f>== CNN pairwise two-sided MW + BH-FDR ===</f>
        <v/>
      </c>
    </row>
    <row r="10">
      <c r="A10" t="inlineStr">
        <is>
          <t>region_a   region_b  n_a   n_b  median_a  median_b          U   p_two_sided  rank_biserial          q_bh</t>
        </is>
      </c>
    </row>
    <row r="11">
      <c r="A11" t="inlineStr">
        <is>
          <t xml:space="preserve">    utr5       utr3 2542  4148  0.002688  0.001117  6535532.5  2.300817e-61       0.239643  4.601633e-61</t>
        </is>
      </c>
    </row>
    <row r="12">
      <c r="A12" t="inlineStr">
        <is>
          <t xml:space="preserve">    utr5   promoter 2542  7399  0.002688  0.000427 13240115.5 2.253623e-207       0.407904 1.352174e-206</t>
        </is>
      </c>
    </row>
    <row r="13">
      <c r="A13" t="inlineStr">
        <is>
          <t xml:space="preserve">    utr5 terminator 2542 13573  0.002688  0.000584 23204725.5 2.421464e-169       0.345101 7.264392e-169</t>
        </is>
      </c>
    </row>
    <row r="14">
      <c r="A14" t="inlineStr">
        <is>
          <t xml:space="preserve">    utr3   promoter 4148  7399  0.001117  0.000427 16786397.0  4.935142e-17       0.093895  7.402713e-17</t>
        </is>
      </c>
    </row>
    <row r="15">
      <c r="A15" t="inlineStr">
        <is>
          <t xml:space="preserve">    utr3 terminator 4148 13573  0.001117  0.000584 30385244.5  6.886326e-15       0.079389  8.263591e-15</t>
        </is>
      </c>
    </row>
    <row r="16">
      <c r="A16" t="inlineStr">
        <is>
          <t>promoter terminator 7399 13573  0.000427  0.000584 49668482.0  1.928966e-01      -0.010850  1.928966e-01</t>
        </is>
      </c>
    </row>
    <row r="17">
      <c r="A17" t="inlineStr"/>
    </row>
    <row r="18">
      <c r="A18">
        <f>== AgroNT region descriptives ===</f>
        <v/>
      </c>
    </row>
    <row r="19">
      <c r="A19" t="inlineStr">
        <is>
          <t xml:space="preserve">    region     n     mean       sd   median  median_ci95_lo  median_ci95_hi      iqr</t>
        </is>
      </c>
    </row>
    <row r="20">
      <c r="A20" t="inlineStr">
        <is>
          <t xml:space="preserve">      utr5  2474 0.001269 0.001298 0.000851        0.000807        0.000888 0.001323</t>
        </is>
      </c>
    </row>
    <row r="21">
      <c r="A21" t="inlineStr">
        <is>
          <t xml:space="preserve">      utr3  3997 0.002090 0.003025 0.001181        0.001126        0.001241 0.001821</t>
        </is>
      </c>
    </row>
    <row r="22">
      <c r="A22" t="inlineStr">
        <is>
          <t xml:space="preserve">  promoter  7089 0.000784 0.000823 0.000539        0.000525        0.000556 0.000694</t>
        </is>
      </c>
    </row>
    <row r="23">
      <c r="A23" t="inlineStr">
        <is>
          <t>terminator 12958 0.004108 0.006250 0.002024        0.001962        0.002075 0.003865</t>
        </is>
      </c>
    </row>
    <row r="24">
      <c r="A24" t="inlineStr"/>
    </row>
    <row r="25">
      <c r="A25">
        <f>== AgroNT pairwise two-sided MW + BH-FDR ===</f>
        <v/>
      </c>
    </row>
    <row r="26">
      <c r="A26" t="inlineStr">
        <is>
          <t>region_a   region_b  n_a   n_b  median_a  median_b          U   p_two_sided  rank_biserial          q_bh</t>
        </is>
      </c>
    </row>
    <row r="27">
      <c r="A27" t="inlineStr">
        <is>
          <t xml:space="preserve">    utr5       utr3 2474  3997  0.000851  0.001181  4019000.5  8.655589e-37      -0.187143  8.655589e-37</t>
        </is>
      </c>
    </row>
    <row r="28">
      <c r="A28" t="inlineStr">
        <is>
          <t xml:space="preserve">    utr5   promoter 2474  7089  0.000851  0.000539 10822061.0  1.534109e-67       0.234114  1.840931e-67</t>
        </is>
      </c>
    </row>
    <row r="29">
      <c r="A29" t="inlineStr">
        <is>
          <t xml:space="preserve">    utr5 terminator 2474 12958  0.000851  0.002024  9584018.5 3.859420e-221      -0.402084 7.718840e-221</t>
        </is>
      </c>
    </row>
    <row r="30">
      <c r="A30" t="inlineStr">
        <is>
          <t xml:space="preserve">    utr3   promoter 3997  7089  0.001181  0.000539 20046083.5 4.797864e-289       0.414948 1.439359e-288</t>
        </is>
      </c>
    </row>
    <row r="31">
      <c r="A31" t="inlineStr">
        <is>
          <t xml:space="preserve">    utr3 terminator 3997 12958  0.001181  0.002024 19545524.0 6.744049e-122      -0.245246 1.011607e-121</t>
        </is>
      </c>
    </row>
    <row r="32">
      <c r="A32" t="inlineStr">
        <is>
          <t>promoter terminator 7089 12958  0.000539  0.002024 19594058.0  0.000000e+00      -0.573390  0.000000e+00</t>
        </is>
      </c>
    </row>
    <row r="33">
      <c r="A33" t="inlineStr"/>
    </row>
    <row r="34">
      <c r="A34">
        <f>== Tissue-averaged vs single-tissue labels ===</f>
        <v/>
      </c>
    </row>
    <row r="35">
      <c r="A35" t="inlineStr">
        <is>
          <t>n_tissues = 56</t>
        </is>
      </c>
    </row>
    <row r="36">
      <c r="A36" t="inlineStr">
        <is>
          <t>mean_agreement = 0.920566</t>
        </is>
      </c>
    </row>
    <row r="37">
      <c r="A37" t="inlineStr">
        <is>
          <t>sd = 0.0308857</t>
        </is>
      </c>
    </row>
    <row r="38">
      <c r="A38" t="inlineStr">
        <is>
          <t>median = 0.924848</t>
        </is>
      </c>
    </row>
    <row r="39">
      <c r="A39" t="inlineStr">
        <is>
          <t>iqr = 0.047581</t>
        </is>
      </c>
    </row>
    <row r="40">
      <c r="A40" t="inlineStr">
        <is>
          <t>min = 0.786654</t>
        </is>
      </c>
    </row>
    <row r="41">
      <c r="A41" t="inlineStr">
        <is>
          <t>max = 0.954294</t>
        </is>
      </c>
    </row>
    <row r="42">
      <c r="A42" t="inlineStr">
        <is>
          <t>bootstrap_ci95_lo = 0.912206</t>
        </is>
      </c>
    </row>
    <row r="43">
      <c r="A43" t="inlineStr">
        <is>
          <t>bootstrap_ci95_hi = 0.928101</t>
        </is>
      </c>
    </row>
    <row r="44">
      <c r="A44" t="inlineStr">
        <is>
          <t>n_boot = 10000</t>
        </is>
      </c>
    </row>
    <row r="45">
      <c r="A45" t="inlineStr">
        <is>
          <t>bootstrap_unit = tissues/samples (n=56), not genes</t>
        </is>
      </c>
    </row>
    <row r="46">
      <c r="A46" t="inlineStr"/>
    </row>
    <row r="47">
      <c r="A47">
        <f>== eQTL exploratory ===</f>
        <v/>
      </c>
    </row>
    <row r="48">
      <c r="A48" t="inlineStr">
        <is>
          <t>n_eqtl = 17</t>
        </is>
      </c>
    </row>
    <row r="49">
      <c r="A49" t="inlineStr">
        <is>
          <t>median_eqtl = 0.00204703</t>
        </is>
      </c>
    </row>
    <row r="50">
      <c r="A50" t="inlineStr">
        <is>
          <t>median_background = 0.000646666</t>
        </is>
      </c>
    </row>
    <row r="51">
      <c r="A51" t="inlineStr">
        <is>
          <t>mwu_U = 292434</t>
        </is>
      </c>
    </row>
    <row r="52">
      <c r="A52" t="inlineStr">
        <is>
          <t>mwu_p_greater = 0.0406924</t>
        </is>
      </c>
    </row>
    <row r="53">
      <c r="A53" t="inlineStr">
        <is>
          <t>permutation_p_median = 0.0586941</t>
        </is>
      </c>
    </row>
    <row r="54">
      <c r="A54" t="inlineStr">
        <is>
          <t>n_perm = 10000</t>
        </is>
      </c>
    </row>
    <row r="55">
      <c r="A55" t="inlineStr">
        <is>
          <t>note = exploratory; n=17; do not use as confirmatory evidence</t>
        </is>
      </c>
    </row>
    <row r="56">
      <c r="A56" t="inlineStr"/>
    </row>
    <row r="57">
      <c r="A57">
        <f>== Seeds ===</f>
        <v/>
      </c>
    </row>
    <row r="58">
      <c r="A58" t="inlineStr">
        <is>
          <t># 更正 2026-09-26：此处原为 3/1 seed 的陈旧快照（cnn_n_seeds=3, agront_n_seeds=1），</t>
        </is>
      </c>
    </row>
    <row r="59">
      <c r="A59" t="inlineStr">
        <is>
          <t># 与 multiseed_acceptance.txt 及 *_multiseed_pgb.csv（均 5 seed）冲突，也是</t>
        </is>
      </c>
    </row>
    <row r="60">
      <c r="A60" t="inlineStr">
        <is>
          <t># Figure 1b 显示 "seeds 42/43/44" / "seed 42 only" 的根因。权威值见 multiseed_acceptance.txt。</t>
        </is>
      </c>
    </row>
    <row r="61">
      <c r="A61" t="inlineStr">
        <is>
          <t>cnn_n_seeds = 5</t>
        </is>
      </c>
    </row>
    <row r="62">
      <c r="A62" t="inlineStr">
        <is>
          <t>cnn_auroc_mean = 0.8465</t>
        </is>
      </c>
    </row>
    <row r="63">
      <c r="A63" t="inlineStr">
        <is>
          <t>cnn_auroc_sd = 0.0038</t>
        </is>
      </c>
    </row>
    <row r="64">
      <c r="A64" t="inlineStr">
        <is>
          <t>cnn_accuracy_mean = 0.7634</t>
        </is>
      </c>
    </row>
    <row r="65">
      <c r="A65" t="inlineStr">
        <is>
          <t>cnn_accuracy_sd = 0.0062</t>
        </is>
      </c>
    </row>
    <row r="66">
      <c r="A66" t="inlineStr">
        <is>
          <t>agront_n_seeds = 5</t>
        </is>
      </c>
    </row>
    <row r="67">
      <c r="A67" t="inlineStr">
        <is>
          <t>agront_auroc_mean = 0.9382</t>
        </is>
      </c>
    </row>
    <row r="68">
      <c r="A68" t="inlineStr">
        <is>
          <t>agront_auroc_sd = 0.0006</t>
        </is>
      </c>
    </row>
    <row r="69">
      <c r="A69" t="inlineStr">
        <is>
          <t>agront_accuracy_mean = 0.8653</t>
        </is>
      </c>
    </row>
    <row r="70">
      <c r="A70" t="inlineStr">
        <is>
          <t>agront_accuracy_sd = 0.0030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